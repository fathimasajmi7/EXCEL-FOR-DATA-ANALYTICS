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81" documentId="8_{4B42B37C-371E-4A50-A717-1DA61D711D6C}" xr6:coauthVersionLast="47" xr6:coauthVersionMax="47" xr10:uidLastSave="{D89856C5-359B-4AA1-9786-2D1C20E4D4A7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E42" i="2"/>
  <c r="E4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F38" i="2"/>
  <c r="F37" i="2"/>
  <c r="D37" i="2"/>
  <c r="B36" i="2"/>
  <c r="D36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<sst xmlns="http://schemas.openxmlformats.org/spreadsheetml/2006/main" count="170" uniqueCount="121">
  <si>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</si>
  <si>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</si>
  <si>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</si>
  <si>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</si>
  <si>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</si>
  <si>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</si>
  <si>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</si>
  <si>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</si>
  <si>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</si>
  <si>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</si>
  <si>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</si>
  <si>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</si>
  <si>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</si>
  <si>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</si>
  <si>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</si>
  <si>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</si>
  <si>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</si>
  <si>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</si>
  <si>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</si>
  <si>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</si>
  <si>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</si>
  <si>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</si>
  <si>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</si>
  <si>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</si>
  <si>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</si>
  <si>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</si>
  <si>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</si>
  <si>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</si>
  <si>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</si>
  <si>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</si>
  <si>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</si>
  <si>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</si>
  <si>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</si>
  <si>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</si>
  <si>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</si>
  <si>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</si>
  <si>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</si>
  <si>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</si>
  <si>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</si>
  <si>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</si>
  <si>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</si>
  <si>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</si>
  <si>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</si>
  <si>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</si>
  <si>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</si>
  <si>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</si>
  <si>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</si>
  <si>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</si>
  <si>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</si>
  <si>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</si>
  <si>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</si>
  <si>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</si>
  <si>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</si>
  <si>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</si>
  <si>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</si>
  <si>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</si>
  <si>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</si>
  <si>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</si>
  <si>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</si>
  <si>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</si>
  <si>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</si>
  <si>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</si>
  <si>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</si>
  <si>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</si>
  <si>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</si>
  <si>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</si>
  <si>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</si>
  <si>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</si>
  <si>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</si>
  <si>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</si>
  <si>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</si>
  <si>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</si>
  <si>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</si>
  <si>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</si>
  <si>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</si>
  <si>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</si>
  <si>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</si>
  <si>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</si>
  <si>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</si>
  <si>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</si>
  <si>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</si>
  <si>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</si>
  <si>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</si>
  <si>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</si>
  <si>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</si>
  <si>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</si>
  <si>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</si>
  <si>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</si>
  <si>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</si>
  <si>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</si>
  <si>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</si>
  <si>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</si>
  <si>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</si>
  <si>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</si>
  <si>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</si>
  <si>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</si>
  <si>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</si>
  <si>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</si>
  <si>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</si>
  <si>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</si>
  <si>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</si>
  <si>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</si>
  <si>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</si>
  <si>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</si>
  <si>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</si>
  <si>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</si>
  <si>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</si>
  <si>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</si>
  <si>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</si>
  <si>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</si>
  <si>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Price=</t>
  </si>
  <si>
    <t>No.Of Pdcts=</t>
  </si>
  <si>
    <t>Avg Price=</t>
  </si>
  <si>
    <t>Min Price=</t>
  </si>
  <si>
    <t>Max Price=</t>
  </si>
  <si>
    <t>Price Range</t>
  </si>
  <si>
    <t>Total price for Electronics category=</t>
  </si>
  <si>
    <t>Count of pdcts with a 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</si>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</sst>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i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4" borderId="1" xfId="0" applyFont="1" applyFill="1" applyBorder="1" applyAlignment="1">
      <alignment horizontal="center"/>
    </xf>
    <xf numFmtId="0" fontId="12" fillId="4" borderId="0" xfId="0" applyFont="1" applyFill="1"/>
    <xf numFmtId="0" fontId="14" fillId="4" borderId="0" xfId="0" applyFont="1" applyFill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C7E4D-8E1B-4F28-A987-8CBAC061B311}" name="Table1" displayName="Table1" ref="A1:G35" totalsRowShown="0" headerRowDxfId="3">
  <autoFilter ref="A1:G35" xr:uid="{0D0C7E4D-8E1B-4F28-A987-8CBAC061B311}"/>
  <tableColumns count="7">
    <tableColumn id="1" xr3:uid="{01FB7B80-02BD-46E2-9BFC-975B659B72C0}" name="Product ID"/>
    <tableColumn id="2" xr3:uid="{27EA6EA6-80EF-4373-B6BC-09901B3F0E7C}" name="Product Name"/>
    <tableColumn id="3" xr3:uid="{747B3362-CEBC-4E9D-8126-535FC42C1FF7}" name="Brand Name"/>
    <tableColumn id="4" xr3:uid="{52F24DC4-5C96-42D4-92F1-5118858254CC}" name="Price ($)"/>
    <tableColumn id="5" xr3:uid="{BAC1E7EB-9A01-47FC-B0DF-5ECBE95C1277}" name="Quantity"/>
    <tableColumn id="6" xr3:uid="{1CE193EC-7370-4A5D-8A19-67D05CF23D44}" name="Category"/>
    <tableColumn id="7" xr3:uid="{62123C8E-BE83-4301-8126-77B4E1B18743}" name="Price Range">
      <calculatedColumnFormula>IF(D2&gt;=500,"High Price","Standard Price")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1DA8C-7A6D-434E-BAEE-ECD55B4DC548}" name="Table2" displayName="Table2" ref="H1:H35" totalsRowShown="0" headerRowDxfId="2">
  <autoFilter ref="H1:H35" xr:uid="{6101DA8C-7A6D-434E-BAEE-ECD55B4DC548}"/>
  <tableColumns count="1">
    <tableColumn id="1" xr3:uid="{CF9BE12C-2765-4587-8331-6CBA5600C97C}" name="Day">
      <calculatedColumnFormula>LEFT(Table1[[#This Row],[Product ID]],2)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9F8B52-CE93-445B-9BCE-79B177071887}" name="Table3" displayName="Table3" ref="I1:I35" totalsRowShown="0" headerRowDxfId="1">
  <autoFilter ref="I1:I35" xr:uid="{A39F8B52-CE93-445B-9BCE-79B177071887}"/>
  <tableColumns count="1">
    <tableColumn id="1" xr3:uid="{24E4F8DF-F592-4F31-B2D8-AE15300FA325}" name="Country Code">
      <calculatedColumnFormula>RIGHT(Table1[[#This Row],[Product ID]],2)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9721C2-5D4B-4CC8-B9C4-B7B5AB23205F}" name="Table4" displayName="Table4" ref="J1:J35" totalsRowShown="0" headerRowDxfId="0">
  <autoFilter ref="J1:J35" xr:uid="{1A9721C2-5D4B-4CC8-B9C4-B7B5AB23205F}"/>
  <tableColumns count="1">
    <tableColumn id="1" xr3:uid="{AAF61939-0D08-40B2-9B34-C31B4C7C1F2E}" name="Month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18" workbookViewId="0">
      <selection activeCell="K19" sqref="K19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5.33203125" customWidth="1"/>
    <col min="9" max="9" width="15.7773437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3" t="s">
        <v>115</v>
      </c>
      <c r="H1" s="14" t="s">
        <v>118</v>
      </c>
      <c r="I1" s="15" t="s">
        <v>119</v>
      </c>
      <c r="J1" s="15" t="s">
        <v>120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t="str">
        <f>LEFT(Table1[[#This Row],[Product ID]],2)</f>
        <v>28</v>
      </c>
      <c r="I2" t="str">
        <f>RIGHT(Table1[[#This Row],[Product ID]],2)</f>
        <v>US</v>
      </c>
      <c r="J2" t="str">
        <f>MID(Table1[[#This Row],[Product ID]],4,3)</f>
        <v>JAN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IF(D3&gt;=500,"High Price","Standard Price")</f>
        <v>Standard Price</v>
      </c>
      <c r="H3" t="str">
        <f>LEFT(Table1[[#This Row],[Product ID]],2)</f>
        <v>15</v>
      </c>
      <c r="I3" t="str">
        <f>RIGHT(Table1[[#This Row],[Product ID]],2)</f>
        <v>US</v>
      </c>
      <c r="J3" t="str">
        <f>MID(Table1[[#This Row],[Product ID]],4,3)</f>
        <v>FEB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t="str">
        <f>LEFT(Table1[[#This Row],[Product ID]],2)</f>
        <v>03</v>
      </c>
      <c r="I4" t="str">
        <f>RIGHT(Table1[[#This Row],[Product ID]],2)</f>
        <v>US</v>
      </c>
      <c r="J4" t="str">
        <f>MID(Table1[[#This Row],[Product ID]],4,3)</f>
        <v>MAR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t="str">
        <f>LEFT(Table1[[#This Row],[Product ID]],2)</f>
        <v>11</v>
      </c>
      <c r="I5" t="str">
        <f>RIGHT(Table1[[#This Row],[Product ID]],2)</f>
        <v>US</v>
      </c>
      <c r="J5" t="str">
        <f>MID(Table1[[#This Row],[Product ID]],4,3)</f>
        <v>APR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t="str">
        <f>LEFT(Table1[[#This Row],[Product ID]],2)</f>
        <v>22</v>
      </c>
      <c r="I6" t="str">
        <f>RIGHT(Table1[[#This Row],[Product ID]],2)</f>
        <v>US</v>
      </c>
      <c r="J6" t="str">
        <f>MID(Table1[[#This Row],[Product ID]],4,3)</f>
        <v>MAY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t="str">
        <f>LEFT(Table1[[#This Row],[Product ID]],2)</f>
        <v>07</v>
      </c>
      <c r="I7" t="str">
        <f>RIGHT(Table1[[#This Row],[Product ID]],2)</f>
        <v>UK</v>
      </c>
      <c r="J7" t="str">
        <f>MID(Table1[[#This Row],[Product ID]],4,3)</f>
        <v>JUN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t="str">
        <f>LEFT(Table1[[#This Row],[Product ID]],2)</f>
        <v>19</v>
      </c>
      <c r="I8" t="str">
        <f>RIGHT(Table1[[#This Row],[Product ID]],2)</f>
        <v>UK</v>
      </c>
      <c r="J8" t="str">
        <f>MID(Table1[[#This Row],[Product ID]],4,3)</f>
        <v>JUL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t="str">
        <f>LEFT(Table1[[#This Row],[Product ID]],2)</f>
        <v>23</v>
      </c>
      <c r="I9" t="str">
        <f>RIGHT(Table1[[#This Row],[Product ID]],2)</f>
        <v>UK</v>
      </c>
      <c r="J9" t="str">
        <f>MID(Table1[[#This Row],[Product ID]],4,3)</f>
        <v>AUG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t="str">
        <f>LEFT(Table1[[#This Row],[Product ID]],2)</f>
        <v>05</v>
      </c>
      <c r="I10" t="str">
        <f>RIGHT(Table1[[#This Row],[Product ID]],2)</f>
        <v>UK</v>
      </c>
      <c r="J10" t="str">
        <f>MID(Table1[[#This Row],[Product ID]],4,3)</f>
        <v>SEP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t="str">
        <f>LEFT(Table1[[#This Row],[Product ID]],2)</f>
        <v>14</v>
      </c>
      <c r="I11" t="str">
        <f>RIGHT(Table1[[#This Row],[Product ID]],2)</f>
        <v>UK</v>
      </c>
      <c r="J11" t="str">
        <f>MID(Table1[[#This Row],[Product ID]],4,3)</f>
        <v>OCT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t="str">
        <f>LEFT(Table1[[#This Row],[Product ID]],2)</f>
        <v>17</v>
      </c>
      <c r="I12" t="str">
        <f>RIGHT(Table1[[#This Row],[Product ID]],2)</f>
        <v>IN</v>
      </c>
      <c r="J12" t="str">
        <f>MID(Table1[[#This Row],[Product ID]],4,3)</f>
        <v>JUN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t="str">
        <f>LEFT(Table1[[#This Row],[Product ID]],2)</f>
        <v>25</v>
      </c>
      <c r="I13" t="str">
        <f>RIGHT(Table1[[#This Row],[Product ID]],2)</f>
        <v>AU</v>
      </c>
      <c r="J13" t="str">
        <f>MID(Table1[[#This Row],[Product ID]],4,3)</f>
        <v>NOV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t="str">
        <f>LEFT(Table1[[#This Row],[Product ID]],2)</f>
        <v>08</v>
      </c>
      <c r="I14" t="str">
        <f>RIGHT(Table1[[#This Row],[Product ID]],2)</f>
        <v>DE</v>
      </c>
      <c r="J14" t="str">
        <f>MID(Table1[[#This Row],[Product ID]],4,3)</f>
        <v>DEC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t="str">
        <f>LEFT(Table1[[#This Row],[Product ID]],2)</f>
        <v>18</v>
      </c>
      <c r="I15" t="str">
        <f>RIGHT(Table1[[#This Row],[Product ID]],2)</f>
        <v>CA</v>
      </c>
      <c r="J15" t="str">
        <f>MID(Table1[[#This Row],[Product ID]],4,3)</f>
        <v>FEB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t="str">
        <f>LEFT(Table1[[#This Row],[Product ID]],2)</f>
        <v>16</v>
      </c>
      <c r="I16" t="str">
        <f>RIGHT(Table1[[#This Row],[Product ID]],2)</f>
        <v>ES</v>
      </c>
      <c r="J16" t="str">
        <f>MID(Table1[[#This Row],[Product ID]],4,3)</f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t="str">
        <f>LEFT(Table1[[#This Row],[Product ID]],2)</f>
        <v>21</v>
      </c>
      <c r="I17" t="str">
        <f>RIGHT(Table1[[#This Row],[Product ID]],2)</f>
        <v>CA</v>
      </c>
      <c r="J17" t="str">
        <f>MID(Table1[[#This Row],[Product ID]],4,3)</f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t="str">
        <f>LEFT(Table1[[#This Row],[Product ID]],2)</f>
        <v>20</v>
      </c>
      <c r="I18" t="str">
        <f>RIGHT(Table1[[#This Row],[Product ID]],2)</f>
        <v>CN</v>
      </c>
      <c r="J18" t="str">
        <f>MID(Table1[[#This Row],[Product ID]],4,3)</f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t="str">
        <f>LEFT(Table1[[#This Row],[Product ID]],2)</f>
        <v>27</v>
      </c>
      <c r="I19" t="str">
        <f>RIGHT(Table1[[#This Row],[Product ID]],2)</f>
        <v>IT</v>
      </c>
      <c r="J19" t="str">
        <f>MID(Table1[[#This Row],[Product ID]],4,3)</f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t="str">
        <f>LEFT(Table1[[#This Row],[Product ID]],2)</f>
        <v>01</v>
      </c>
      <c r="I20" t="str">
        <f>RIGHT(Table1[[#This Row],[Product ID]],2)</f>
        <v>UK</v>
      </c>
      <c r="J20" t="str">
        <f>MID(Table1[[#This Row],[Product ID]],4,3)</f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t="str">
        <f>LEFT(Table1[[#This Row],[Product ID]],2)</f>
        <v>14</v>
      </c>
      <c r="I21" t="str">
        <f>RIGHT(Table1[[#This Row],[Product ID]],2)</f>
        <v>US</v>
      </c>
      <c r="J21" t="str">
        <f>MID(Table1[[#This Row],[Product ID]],4,3)</f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t="str">
        <f>LEFT(Table1[[#This Row],[Product ID]],2)</f>
        <v>14</v>
      </c>
      <c r="I22" t="str">
        <f>RIGHT(Table1[[#This Row],[Product ID]],2)</f>
        <v>RU</v>
      </c>
      <c r="J22" t="str">
        <f>MID(Table1[[#This Row],[Product ID]],4,3)</f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t="str">
        <f>LEFT(Table1[[#This Row],[Product ID]],2)</f>
        <v>09</v>
      </c>
      <c r="I23" t="str">
        <f>RIGHT(Table1[[#This Row],[Product ID]],2)</f>
        <v>CA</v>
      </c>
      <c r="J23" t="str">
        <f>MID(Table1[[#This Row],[Product ID]],4,3)</f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t="str">
        <f>LEFT(Table1[[#This Row],[Product ID]],2)</f>
        <v>19</v>
      </c>
      <c r="I24" t="str">
        <f>RIGHT(Table1[[#This Row],[Product ID]],2)</f>
        <v>BR</v>
      </c>
      <c r="J24" t="str">
        <f>MID(Table1[[#This Row],[Product ID]],4,3)</f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t="str">
        <f>LEFT(Table1[[#This Row],[Product ID]],2)</f>
        <v>21</v>
      </c>
      <c r="I25" t="str">
        <f>RIGHT(Table1[[#This Row],[Product ID]],2)</f>
        <v>CA</v>
      </c>
      <c r="J25" t="str">
        <f>MID(Table1[[#This Row],[Product ID]],4,3)</f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t="str">
        <f>LEFT(Table1[[#This Row],[Product ID]],2)</f>
        <v>29</v>
      </c>
      <c r="I26" t="str">
        <f>RIGHT(Table1[[#This Row],[Product ID]],2)</f>
        <v>CA</v>
      </c>
      <c r="J26" t="str">
        <f>MID(Table1[[#This Row],[Product ID]],4,3)</f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t="str">
        <f>LEFT(Table1[[#This Row],[Product ID]],2)</f>
        <v>03</v>
      </c>
      <c r="I27" t="str">
        <f>RIGHT(Table1[[#This Row],[Product ID]],2)</f>
        <v>CA</v>
      </c>
      <c r="J27" t="str">
        <f>MID(Table1[[#This Row],[Product ID]],4,3)</f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t="str">
        <f>LEFT(Table1[[#This Row],[Product ID]],2)</f>
        <v>11</v>
      </c>
      <c r="I28" t="str">
        <f>RIGHT(Table1[[#This Row],[Product ID]],2)</f>
        <v>CA</v>
      </c>
      <c r="J28" t="str">
        <f>MID(Table1[[#This Row],[Product ID]],4,3)</f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t="str">
        <f>LEFT(Table1[[#This Row],[Product ID]],2)</f>
        <v>16</v>
      </c>
      <c r="I29" t="str">
        <f>RIGHT(Table1[[#This Row],[Product ID]],2)</f>
        <v>ES</v>
      </c>
      <c r="J29" t="str">
        <f>MID(Table1[[#This Row],[Product ID]],4,3)</f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t="str">
        <f>LEFT(Table1[[#This Row],[Product ID]],2)</f>
        <v>07</v>
      </c>
      <c r="I30" t="str">
        <f>RIGHT(Table1[[#This Row],[Product ID]],2)</f>
        <v>CA</v>
      </c>
      <c r="J30" t="str">
        <f>MID(Table1[[#This Row],[Product ID]],4,3)</f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t="str">
        <f>LEFT(Table1[[#This Row],[Product ID]],2)</f>
        <v>13</v>
      </c>
      <c r="I31" t="str">
        <f>RIGHT(Table1[[#This Row],[Product ID]],2)</f>
        <v>CA</v>
      </c>
      <c r="J31" t="str">
        <f>MID(Table1[[#This Row],[Product ID]],4,3)</f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t="str">
        <f>LEFT(Table1[[#This Row],[Product ID]],2)</f>
        <v>24</v>
      </c>
      <c r="I32" t="str">
        <f>RIGHT(Table1[[#This Row],[Product ID]],2)</f>
        <v>CA</v>
      </c>
      <c r="J32" t="str">
        <f>MID(Table1[[#This Row],[Product ID]],4,3)</f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t="str">
        <f>LEFT(Table1[[#This Row],[Product ID]],2)</f>
        <v>02</v>
      </c>
      <c r="I33" t="str">
        <f>RIGHT(Table1[[#This Row],[Product ID]],2)</f>
        <v>CA</v>
      </c>
      <c r="J33" t="str">
        <f>MID(Table1[[#This Row],[Product ID]],4,3)</f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t="str">
        <f>LEFT(Table1[[#This Row],[Product ID]],2)</f>
        <v>17</v>
      </c>
      <c r="I34" t="str">
        <f>RIGHT(Table1[[#This Row],[Product ID]],2)</f>
        <v>IN</v>
      </c>
      <c r="J34" t="str">
        <f>MID(Table1[[#This Row],[Product ID]],4,3)</f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t="str">
        <f>LEFT(Table1[[#This Row],[Product ID]],2)</f>
        <v>09</v>
      </c>
      <c r="I35" t="str">
        <f>RIGHT(Table1[[#This Row],[Product ID]],2)</f>
        <v>FR</v>
      </c>
      <c r="J35" t="str">
        <f>MID(Table1[[#This Row],[Product ID]],4,3)</f>
        <v>JUL</v>
      </c>
    </row>
    <row r="36" spans="1:10" ht="15.75" customHeight="1" x14ac:dyDescent="0.25">
      <c r="A36" s="11" t="s">
        <v>111</v>
      </c>
      <c r="B36" s="9">
        <f>COUNTA(B2:B35)</f>
        <v>34</v>
      </c>
      <c r="C36" s="11" t="s">
        <v>110</v>
      </c>
      <c r="D36" s="9">
        <f>SUM(D2:D35)</f>
        <v>10100</v>
      </c>
    </row>
    <row r="37" spans="1:10" ht="15.75" customHeight="1" x14ac:dyDescent="0.25">
      <c r="C37" s="8" t="s">
        <v>112</v>
      </c>
      <c r="D37" s="9">
        <f>AVERAGE(D2:D35)</f>
        <v>297.05882352941177</v>
      </c>
      <c r="E37" s="12" t="s">
        <v>113</v>
      </c>
      <c r="F37" s="12">
        <f>MIN(D2:D35)</f>
        <v>30</v>
      </c>
    </row>
    <row r="38" spans="1:10" ht="15.75" customHeight="1" x14ac:dyDescent="0.25">
      <c r="E38" s="12" t="s">
        <v>114</v>
      </c>
      <c r="F38" s="12">
        <f>MAX(D2:D35)</f>
        <v>1000</v>
      </c>
    </row>
    <row r="39" spans="1:10" ht="15.75" customHeight="1" x14ac:dyDescent="0.25"/>
    <row r="40" spans="1:10" ht="15.75" customHeight="1" x14ac:dyDescent="0.25">
      <c r="B40" s="8" t="s">
        <v>116</v>
      </c>
      <c r="D40" s="10"/>
      <c r="E40" s="8">
        <f>SUMIF(Table1[Category],"electronics",Table1[Price ($)])</f>
        <v>8050</v>
      </c>
    </row>
    <row r="41" spans="1:10" ht="15.75" customHeight="1" x14ac:dyDescent="0.25"/>
    <row r="42" spans="1:10" ht="15.75" customHeight="1" x14ac:dyDescent="0.25">
      <c r="B42" s="8" t="s">
        <v>117</v>
      </c>
      <c r="E42" s="8">
        <f>COUNTIF(Table1[Price ($)],"&lt;100")</f>
        <v>11</v>
      </c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ma</cp:lastModifiedBy>
  <dcterms:created xsi:type="dcterms:W3CDTF">2026-10-19T08:59:19Z</dcterms:created>
  <dcterms:modified xsi:type="dcterms:W3CDTF">2026-10-19T09:55:23Z</dcterms:modified>
</cp:coreProperties>
</file>